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D00D7A9-83D4-4D9A-89FD-B5FC10AF593A}" xr6:coauthVersionLast="47" xr6:coauthVersionMax="47" xr10:uidLastSave="{00000000-0000-0000-0000-000000000000}"/>
  <bookViews>
    <workbookView xWindow="-108" yWindow="-108" windowWidth="23256" windowHeight="13896" xr2:uid="{B49CFF20-6CD2-45AC-B4A2-23620C40A28E}"/>
  </bookViews>
  <sheets>
    <sheet name="Sprin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" i="1" l="1"/>
  <c r="X6" i="1"/>
  <c r="Y6" i="1"/>
  <c r="Z6" i="1"/>
  <c r="AA6" i="1"/>
  <c r="AB6" i="1"/>
  <c r="AC6" i="1"/>
  <c r="W6" i="1"/>
  <c r="W5" i="1"/>
  <c r="X5" i="1"/>
  <c r="Y5" i="1"/>
  <c r="Z5" i="1"/>
  <c r="V8" i="1" a="1"/>
  <c r="V8" i="1"/>
  <c r="AA5" i="1"/>
  <c r="AB5" i="1"/>
  <c r="AC5" i="1"/>
  <c r="Z8" i="1" l="1" a="1"/>
  <c r="Z8" i="1" s="1"/>
  <c r="W8" i="1" a="1"/>
  <c r="W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<sst xmlns="http://schemas.openxmlformats.org/spreadsheetml/2006/main" count="81" uniqueCount="39">
  <si>
    <t>Sprint Backlog</t>
  </si>
  <si>
    <t xml:space="preserve">***หมายเหตุ: กำหนดให้แต่ละ Sprint มีความยาว 1 สัปดาห์ 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</si>
  <si>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</si>
  <si>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</si>
  <si>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</si>
  <si>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</si>
  <si>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</si>
  <si>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</si>
  <si>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Actual Time</t>
  </si>
  <si>
    <t>Days</t>
  </si>
  <si>
    <t xml:space="preserve">Estimate Sprint 1 </t>
  </si>
  <si>
    <t>As an admin, I want a log that complies to the related law.</t>
  </si>
  <si>
    <t>A-DEPT Blueprint</t>
  </si>
  <si>
    <t>ทุกคน</t>
  </si>
  <si>
    <t>Actual time</t>
  </si>
  <si>
    <t>UX/UI Design</t>
  </si>
  <si>
    <t>ปิยะธิดา</t>
  </si>
  <si>
    <t>Design and Change Table on Database</t>
  </si>
  <si>
    <t>Team Velocity =</t>
  </si>
  <si>
    <t>Create  Table on Database</t>
  </si>
  <si>
    <t>กันต์ธีร์</t>
  </si>
  <si>
    <t>Frontend Development and UI Enhancement</t>
  </si>
  <si>
    <t xml:space="preserve">Back-end Development </t>
  </si>
  <si>
    <t>API Integration</t>
  </si>
  <si>
    <t>User Acceptance Test (UAT)</t>
  </si>
  <si>
    <t>API Test</t>
  </si>
  <si>
    <t>Deploy</t>
  </si>
  <si>
    <t>วัชรวิศว์</t>
  </si>
  <si>
    <t xml:space="preserve">Document </t>
  </si>
  <si>
    <t>As a driver, I want suggested routes based on the pickup points and drop-off locations as indicated by all of the passengers.</t>
  </si>
  <si>
    <t>อรจิรา แสนตา</t>
  </si>
  <si>
    <t>Create or Change Table on Database</t>
  </si>
  <si>
    <t>burn down chart Sprint No.1</t>
  </si>
  <si>
    <t>Back-end Development way point state update function</t>
  </si>
  <si>
    <t>Back-end Development way point recommendation function</t>
  </si>
  <si>
    <t>As a user, I want my account and information to be removed from the system when I am no longer want to be apart of this community.</t>
  </si>
  <si>
    <t>วัฒนชัย บึงจันทร์</t>
  </si>
  <si>
    <t>จิติศักดิ์ มงคลเคหา</t>
  </si>
  <si>
    <t>Back-end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</si>
</sst>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22"/>
      <scheme val="minor"/>
    </font>
    <font>
      <b/>
      <sz val="20"/>
      <color theme="1"/>
      <name val="Cordia New"/>
      <family val="2"/>
    </font>
    <font>
      <sz val="20"/>
      <color theme="1"/>
      <name val="Cordia New"/>
      <family val="2"/>
    </font>
    <font>
      <b/>
      <sz val="20"/>
      <color rgb="FF000000"/>
      <name val="Cordia New"/>
      <family val="2"/>
    </font>
    <font>
      <sz val="20"/>
      <color rgb="FF000000"/>
      <name val="Cordia New"/>
      <family val="2"/>
    </font>
    <font>
      <sz val="20"/>
      <color rgb="FF000000"/>
      <name val="Cordia New"/>
    </font>
    <font>
      <sz val="20"/>
      <color rgb="FF000000"/>
      <name val="Cordia New"/>
      <charset val="1"/>
    </font>
    <font>
      <b/>
      <sz val="20"/>
      <color rgb="FF000000"/>
      <name val="Cordia New"/>
    </font>
    <font>
      <sz val="20"/>
      <color theme="1"/>
      <name val="Cordia New"/>
    </font>
    <font>
      <b/>
      <sz val="20"/>
      <color theme="1"/>
      <name val="Cordia New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5" fillId="0" borderId="6" xfId="0" applyFont="1" applyBorder="1" applyAlignment="1">
      <alignment horizontal="justify" vertical="center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  <xf numFmtId="0" fontId="6" fillId="0" borderId="11" xfId="0" applyFont="1" applyBorder="1"/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5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'Sprint 1'!$W$8</c:f>
              <c:strCache>
                <c:ptCount val="1"/>
                <c:pt idx="0">
                  <c:v>Estimate Sprint 1 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'Sprint 1'!$W$9:$W$15</c:f>
              <c:numCache>
                <c:formatCode>General</c:formatCode>
                <c:ptCount val="7"/>
                <c:pt idx="0">
                  <c:v>117</c:v>
                </c:pt>
                <c:pt idx="1">
                  <c:v>109</c:v>
                </c:pt>
                <c:pt idx="2">
                  <c:v>108</c:v>
                </c:pt>
                <c:pt idx="3">
                  <c:v>96</c:v>
                </c:pt>
                <c:pt idx="4">
                  <c:v>32</c:v>
                </c:pt>
                <c:pt idx="5">
                  <c:v>21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7A-4250-8E20-DEAB1EB6476B}"/>
            </c:ext>
          </c:extLst>
        </c:ser>
        <c:ser>
          <c:idx val="4"/>
          <c:order val="1"/>
          <c:tx>
            <c:strRef>
              <c:f>'Sprint 1'!$Z$8</c:f>
              <c:strCache>
                <c:ptCount val="1"/>
                <c:pt idx="0">
                  <c:v>Actual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'Sprint 1'!$Z$9:$Z$15</c:f>
              <c:numCache>
                <c:formatCode>General</c:formatCode>
                <c:ptCount val="7"/>
                <c:pt idx="0">
                  <c:v>120</c:v>
                </c:pt>
                <c:pt idx="1">
                  <c:v>116</c:v>
                </c:pt>
                <c:pt idx="2">
                  <c:v>108</c:v>
                </c:pt>
                <c:pt idx="3">
                  <c:v>100</c:v>
                </c:pt>
                <c:pt idx="4">
                  <c:v>56</c:v>
                </c:pt>
                <c:pt idx="5">
                  <c:v>21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7A-4250-8E20-DEAB1EB64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905864"/>
        <c:axId val="1702922248"/>
      </c:lineChart>
      <c:catAx>
        <c:axId val="1702905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922248"/>
        <c:crosses val="autoZero"/>
        <c:auto val="1"/>
        <c:lblAlgn val="ctr"/>
        <c:lblOffset val="100"/>
        <c:noMultiLvlLbl val="0"/>
      </c:catAx>
      <c:valAx>
        <c:axId val="170292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90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</xdr:colOff>
      <xdr:row>20</xdr:row>
      <xdr:rowOff>0</xdr:rowOff>
    </xdr:from>
    <xdr:to>
      <xdr:col>28</xdr:col>
      <xdr:colOff>657225</xdr:colOff>
      <xdr:row>28</xdr:row>
      <xdr:rowOff>342900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2146C0-AE20-A19D-577E-DFC01E68B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D5E5-E30B-4832-B3F3-D1E9C5334CBD}">
  <dimension ref="A1:AH72"/>
  <sheetViews>
    <sheetView tabSelected="1" topLeftCell="B1" zoomScale="55" zoomScaleNormal="55" workbookViewId="0">
      <selection activeCell="AH6" sqref="AH6"/>
    </sheetView>
  </sheetViews>
  <sheetFormatPr defaultRowHeight="13.5" customHeight="1"/>
  <cols>
    <col min="2" max="2" width="47.6640625" customWidth="1"/>
    <col min="3" max="3" width="61.109375" customWidth="1"/>
    <col min="4" max="4" width="32.33203125" customWidth="1"/>
    <col min="5" max="5" width="17.6640625" customWidth="1"/>
    <col min="13" max="13" width="20" customWidth="1"/>
    <col min="15" max="15" width="22.44140625" bestFit="1" customWidth="1"/>
    <col min="22" max="22" width="12.109375" bestFit="1" customWidth="1"/>
    <col min="33" max="33" width="12.88671875" bestFit="1" customWidth="1"/>
  </cols>
  <sheetData>
    <row r="1" spans="1:34" ht="28.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34" ht="3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34" ht="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34" ht="70.95" customHeight="1">
      <c r="A4" s="29" t="s">
        <v>2</v>
      </c>
      <c r="B4" s="29" t="s">
        <v>3</v>
      </c>
      <c r="C4" s="29" t="s">
        <v>4</v>
      </c>
      <c r="D4" s="29" t="s">
        <v>5</v>
      </c>
      <c r="E4" s="31" t="s">
        <v>6</v>
      </c>
      <c r="F4" s="33" t="s">
        <v>7</v>
      </c>
      <c r="G4" s="33"/>
      <c r="H4" s="33"/>
      <c r="I4" s="33"/>
      <c r="J4" s="33"/>
      <c r="K4" s="33"/>
      <c r="L4" s="34"/>
      <c r="M4" s="35" t="s">
        <v>8</v>
      </c>
      <c r="N4" s="36"/>
      <c r="O4" s="36"/>
      <c r="P4" s="36"/>
      <c r="Q4" s="36"/>
      <c r="R4" s="36"/>
      <c r="S4" s="37"/>
      <c r="V4" s="20" t="s">
        <v>9</v>
      </c>
      <c r="W4" s="19">
        <v>1</v>
      </c>
      <c r="X4" s="19">
        <v>2</v>
      </c>
      <c r="Y4" s="19">
        <v>3</v>
      </c>
      <c r="Z4" s="19">
        <v>4</v>
      </c>
      <c r="AA4" s="19">
        <v>5</v>
      </c>
      <c r="AB4" s="19">
        <v>6</v>
      </c>
      <c r="AC4" s="19">
        <v>7</v>
      </c>
    </row>
    <row r="5" spans="1:34" ht="30.75" customHeight="1">
      <c r="A5" s="29"/>
      <c r="B5" s="29"/>
      <c r="C5" s="30"/>
      <c r="D5" s="30"/>
      <c r="E5" s="32"/>
      <c r="F5" s="18">
        <v>1</v>
      </c>
      <c r="G5" s="18">
        <v>2</v>
      </c>
      <c r="H5" s="18">
        <v>3</v>
      </c>
      <c r="I5" s="18">
        <v>4</v>
      </c>
      <c r="J5" s="18">
        <v>5</v>
      </c>
      <c r="K5" s="18">
        <v>6</v>
      </c>
      <c r="L5" s="17">
        <v>7</v>
      </c>
      <c r="M5" s="22">
        <v>1</v>
      </c>
      <c r="N5" s="22">
        <v>2</v>
      </c>
      <c r="O5" s="22">
        <v>3</v>
      </c>
      <c r="P5" s="22">
        <v>4</v>
      </c>
      <c r="Q5" s="22">
        <v>5</v>
      </c>
      <c r="R5" s="22">
        <v>6</v>
      </c>
      <c r="S5" s="27">
        <v>7</v>
      </c>
      <c r="V5" s="20" t="s">
        <v>10</v>
      </c>
      <c r="W5" s="19">
        <f>SUM(F6:F37)</f>
        <v>117</v>
      </c>
      <c r="X5" s="19">
        <f t="shared" ref="X5:AC5" si="0">SUM(G6:G37)</f>
        <v>109</v>
      </c>
      <c r="Y5" s="19">
        <f t="shared" si="0"/>
        <v>108</v>
      </c>
      <c r="Z5" s="19">
        <f t="shared" si="0"/>
        <v>96</v>
      </c>
      <c r="AA5" s="19">
        <f t="shared" si="0"/>
        <v>32</v>
      </c>
      <c r="AB5" s="19">
        <f t="shared" si="0"/>
        <v>21</v>
      </c>
      <c r="AC5" s="19">
        <f t="shared" si="0"/>
        <v>0</v>
      </c>
    </row>
    <row r="6" spans="1:34" ht="30.75" customHeight="1">
      <c r="A6" s="41">
        <v>1</v>
      </c>
      <c r="B6" s="41" t="s">
        <v>11</v>
      </c>
      <c r="C6" s="16" t="s">
        <v>12</v>
      </c>
      <c r="D6" s="8" t="s">
        <v>13</v>
      </c>
      <c r="E6" s="21">
        <v>1</v>
      </c>
      <c r="F6" s="21">
        <v>1</v>
      </c>
      <c r="G6" s="21">
        <v>0</v>
      </c>
      <c r="H6" s="21">
        <v>0</v>
      </c>
      <c r="I6" s="21">
        <v>0</v>
      </c>
      <c r="J6" s="21">
        <v>0</v>
      </c>
      <c r="K6" s="15">
        <v>0</v>
      </c>
      <c r="L6" s="23">
        <v>0</v>
      </c>
      <c r="M6" s="21">
        <v>2</v>
      </c>
      <c r="N6" s="21">
        <v>2</v>
      </c>
      <c r="O6" s="21">
        <v>0</v>
      </c>
      <c r="P6" s="21">
        <v>0</v>
      </c>
      <c r="Q6" s="21">
        <v>0</v>
      </c>
      <c r="R6" s="15">
        <v>0</v>
      </c>
      <c r="S6" s="26">
        <v>0</v>
      </c>
      <c r="T6" s="14"/>
      <c r="U6" s="14"/>
      <c r="V6" s="25" t="s">
        <v>14</v>
      </c>
      <c r="W6" s="15">
        <f>SUM(M6:M37)</f>
        <v>120</v>
      </c>
      <c r="X6" s="15">
        <f t="shared" ref="X6:AC6" si="1">SUM(N6:N37)</f>
        <v>116</v>
      </c>
      <c r="Y6" s="15">
        <f t="shared" si="1"/>
        <v>108</v>
      </c>
      <c r="Z6" s="15">
        <f t="shared" si="1"/>
        <v>100</v>
      </c>
      <c r="AA6" s="15">
        <f t="shared" si="1"/>
        <v>56</v>
      </c>
      <c r="AB6" s="15">
        <f t="shared" si="1"/>
        <v>21</v>
      </c>
      <c r="AC6" s="15">
        <f t="shared" si="1"/>
        <v>0</v>
      </c>
    </row>
    <row r="7" spans="1:34" ht="25.95" customHeight="1">
      <c r="A7" s="41"/>
      <c r="B7" s="41"/>
      <c r="C7" s="2" t="s">
        <v>15</v>
      </c>
      <c r="D7" s="2" t="s">
        <v>16</v>
      </c>
      <c r="E7" s="13">
        <v>1</v>
      </c>
      <c r="F7" s="13">
        <v>1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24">
        <v>0</v>
      </c>
      <c r="M7" s="13">
        <v>1</v>
      </c>
      <c r="N7" s="13">
        <v>0</v>
      </c>
      <c r="O7" s="13">
        <v>0</v>
      </c>
      <c r="P7" s="13">
        <v>0</v>
      </c>
      <c r="Q7" s="13">
        <v>0</v>
      </c>
      <c r="R7" s="24">
        <v>0</v>
      </c>
      <c r="S7" s="13">
        <v>0</v>
      </c>
    </row>
    <row r="8" spans="1:34" ht="25.95" customHeight="1">
      <c r="A8" s="41"/>
      <c r="B8" s="41"/>
      <c r="C8" s="2" t="s">
        <v>17</v>
      </c>
      <c r="D8" s="2" t="s">
        <v>16</v>
      </c>
      <c r="E8" s="13">
        <v>4</v>
      </c>
      <c r="F8" s="13">
        <v>4</v>
      </c>
      <c r="G8" s="13">
        <v>4</v>
      </c>
      <c r="H8" s="13">
        <v>4</v>
      </c>
      <c r="I8" s="13">
        <v>0</v>
      </c>
      <c r="J8" s="13">
        <v>0</v>
      </c>
      <c r="K8" s="13">
        <v>0</v>
      </c>
      <c r="L8" s="24">
        <v>0</v>
      </c>
      <c r="M8" s="13">
        <v>4</v>
      </c>
      <c r="N8" s="13">
        <v>4</v>
      </c>
      <c r="O8" s="13">
        <v>4</v>
      </c>
      <c r="P8" s="13">
        <v>0</v>
      </c>
      <c r="Q8" s="13">
        <v>0</v>
      </c>
      <c r="R8" s="24">
        <v>0</v>
      </c>
      <c r="S8" s="13">
        <v>0</v>
      </c>
      <c r="V8" s="19" t="str" cm="1">
        <f t="array" ref="V8:V15">TRANSPOSE(V4:AC4)</f>
        <v>Days</v>
      </c>
      <c r="W8" s="19" t="str" cm="1">
        <f t="array" ref="W8:W15">TRANSPOSE(V5:AC5)</f>
        <v xml:space="preserve">Estimate Sprint 1 </v>
      </c>
      <c r="Z8" t="str" cm="1">
        <f t="array" ref="Z8:Z15">TRANSPOSE(V6:AC6)</f>
        <v>Actual time</v>
      </c>
      <c r="AG8" t="s">
        <v>18</v>
      </c>
      <c r="AH8">
        <f>SUM(W5)/1</f>
        <v>117</v>
      </c>
    </row>
    <row r="9" spans="1:34" ht="21.6" customHeight="1">
      <c r="A9" s="41"/>
      <c r="B9" s="41"/>
      <c r="C9" s="2" t="s">
        <v>19</v>
      </c>
      <c r="D9" s="2" t="s">
        <v>20</v>
      </c>
      <c r="E9" s="13">
        <v>4</v>
      </c>
      <c r="F9" s="13">
        <v>4</v>
      </c>
      <c r="G9" s="13">
        <v>4</v>
      </c>
      <c r="H9" s="13">
        <v>4</v>
      </c>
      <c r="I9" s="13">
        <v>4</v>
      </c>
      <c r="J9" s="13">
        <v>0</v>
      </c>
      <c r="K9" s="13">
        <v>0</v>
      </c>
      <c r="L9" s="24">
        <v>0</v>
      </c>
      <c r="M9" s="13">
        <v>4</v>
      </c>
      <c r="N9" s="13">
        <v>4</v>
      </c>
      <c r="O9" s="13">
        <v>4</v>
      </c>
      <c r="P9" s="13">
        <v>4</v>
      </c>
      <c r="Q9" s="13">
        <v>0</v>
      </c>
      <c r="R9" s="24">
        <v>0</v>
      </c>
      <c r="S9" s="13">
        <v>0</v>
      </c>
      <c r="V9" s="19">
        <v>1</v>
      </c>
      <c r="W9" s="19">
        <v>117</v>
      </c>
      <c r="Z9">
        <v>120</v>
      </c>
    </row>
    <row r="10" spans="1:34" ht="21.6" customHeight="1">
      <c r="A10" s="41"/>
      <c r="B10" s="41"/>
      <c r="C10" s="2" t="s">
        <v>21</v>
      </c>
      <c r="D10" s="2" t="s">
        <v>16</v>
      </c>
      <c r="E10" s="13">
        <v>3</v>
      </c>
      <c r="F10" s="13">
        <v>3</v>
      </c>
      <c r="G10" s="13">
        <v>3</v>
      </c>
      <c r="H10" s="13">
        <v>3</v>
      </c>
      <c r="I10" s="13">
        <v>3</v>
      </c>
      <c r="J10" s="13">
        <v>0</v>
      </c>
      <c r="K10" s="13">
        <v>0</v>
      </c>
      <c r="L10" s="24">
        <v>0</v>
      </c>
      <c r="M10" s="13">
        <v>3</v>
      </c>
      <c r="N10" s="13">
        <v>3</v>
      </c>
      <c r="O10" s="13">
        <v>3</v>
      </c>
      <c r="P10" s="13">
        <v>3</v>
      </c>
      <c r="Q10" s="13">
        <v>0</v>
      </c>
      <c r="R10" s="24">
        <v>0</v>
      </c>
      <c r="S10" s="13">
        <v>0</v>
      </c>
      <c r="V10" s="19">
        <v>2</v>
      </c>
      <c r="W10" s="19">
        <v>109</v>
      </c>
      <c r="Z10">
        <v>116</v>
      </c>
    </row>
    <row r="11" spans="1:34" ht="21.6" customHeight="1">
      <c r="A11" s="41"/>
      <c r="B11" s="41"/>
      <c r="C11" s="2" t="s">
        <v>22</v>
      </c>
      <c r="D11" s="2" t="s">
        <v>20</v>
      </c>
      <c r="E11" s="13">
        <v>10</v>
      </c>
      <c r="F11" s="13">
        <v>10</v>
      </c>
      <c r="G11" s="13">
        <v>10</v>
      </c>
      <c r="H11" s="13">
        <v>10</v>
      </c>
      <c r="I11" s="13">
        <v>10</v>
      </c>
      <c r="J11" s="13">
        <v>0</v>
      </c>
      <c r="K11" s="13">
        <v>0</v>
      </c>
      <c r="L11" s="24">
        <v>0</v>
      </c>
      <c r="M11" s="13">
        <v>10</v>
      </c>
      <c r="N11" s="13">
        <v>10</v>
      </c>
      <c r="O11" s="13">
        <v>10</v>
      </c>
      <c r="P11" s="13">
        <v>10</v>
      </c>
      <c r="Q11" s="13">
        <v>0</v>
      </c>
      <c r="R11" s="24">
        <v>0</v>
      </c>
      <c r="S11" s="13">
        <v>0</v>
      </c>
      <c r="V11" s="19">
        <v>3</v>
      </c>
      <c r="W11" s="19">
        <v>108</v>
      </c>
      <c r="Z11">
        <v>108</v>
      </c>
    </row>
    <row r="12" spans="1:34" ht="21.6" customHeight="1">
      <c r="A12" s="41"/>
      <c r="B12" s="41"/>
      <c r="C12" s="2" t="s">
        <v>23</v>
      </c>
      <c r="D12" s="2" t="s">
        <v>20</v>
      </c>
      <c r="E12" s="13">
        <v>5</v>
      </c>
      <c r="F12" s="13">
        <v>5</v>
      </c>
      <c r="G12" s="13">
        <v>5</v>
      </c>
      <c r="H12" s="13">
        <v>5</v>
      </c>
      <c r="I12" s="13">
        <v>5</v>
      </c>
      <c r="J12" s="13">
        <v>0</v>
      </c>
      <c r="K12" s="13">
        <v>0</v>
      </c>
      <c r="L12" s="24">
        <v>0</v>
      </c>
      <c r="M12" s="13">
        <v>5</v>
      </c>
      <c r="N12" s="13">
        <v>5</v>
      </c>
      <c r="O12" s="13">
        <v>5</v>
      </c>
      <c r="P12" s="13">
        <v>5</v>
      </c>
      <c r="Q12" s="13">
        <v>0</v>
      </c>
      <c r="R12" s="24">
        <v>0</v>
      </c>
      <c r="S12" s="13">
        <v>0</v>
      </c>
      <c r="V12" s="19">
        <v>4</v>
      </c>
      <c r="W12" s="19">
        <v>96</v>
      </c>
      <c r="Z12">
        <v>100</v>
      </c>
    </row>
    <row r="13" spans="1:34" ht="29.4" customHeight="1">
      <c r="A13" s="41"/>
      <c r="B13" s="41"/>
      <c r="C13" s="2" t="s">
        <v>24</v>
      </c>
      <c r="D13" s="2" t="s">
        <v>16</v>
      </c>
      <c r="E13" s="13">
        <v>2</v>
      </c>
      <c r="F13" s="13">
        <v>2</v>
      </c>
      <c r="G13" s="13">
        <v>2</v>
      </c>
      <c r="H13" s="13">
        <v>2</v>
      </c>
      <c r="I13" s="13">
        <v>2</v>
      </c>
      <c r="J13" s="13">
        <v>0</v>
      </c>
      <c r="K13" s="13">
        <v>0</v>
      </c>
      <c r="L13" s="24">
        <v>0</v>
      </c>
      <c r="M13" s="13">
        <v>2</v>
      </c>
      <c r="N13" s="13">
        <v>2</v>
      </c>
      <c r="O13" s="13">
        <v>2</v>
      </c>
      <c r="P13" s="13">
        <v>2</v>
      </c>
      <c r="Q13" s="13">
        <v>0</v>
      </c>
      <c r="R13" s="24">
        <v>0</v>
      </c>
      <c r="S13" s="13">
        <v>0</v>
      </c>
      <c r="V13" s="19">
        <v>5</v>
      </c>
      <c r="W13" s="19">
        <v>32</v>
      </c>
      <c r="Z13">
        <v>56</v>
      </c>
    </row>
    <row r="14" spans="1:34" ht="29.4" customHeight="1">
      <c r="A14" s="41"/>
      <c r="B14" s="41"/>
      <c r="C14" s="2" t="s">
        <v>25</v>
      </c>
      <c r="D14" s="2" t="s">
        <v>20</v>
      </c>
      <c r="E14" s="13">
        <v>3</v>
      </c>
      <c r="F14" s="13">
        <v>3</v>
      </c>
      <c r="G14" s="13">
        <v>3</v>
      </c>
      <c r="H14" s="13">
        <v>3</v>
      </c>
      <c r="I14" s="13">
        <v>3</v>
      </c>
      <c r="J14" s="13">
        <v>3</v>
      </c>
      <c r="K14" s="13">
        <v>0</v>
      </c>
      <c r="L14" s="24">
        <v>0</v>
      </c>
      <c r="M14" s="13">
        <v>3</v>
      </c>
      <c r="N14" s="13">
        <v>3</v>
      </c>
      <c r="O14" s="13">
        <v>3</v>
      </c>
      <c r="P14" s="13">
        <v>3</v>
      </c>
      <c r="Q14" s="13">
        <v>3</v>
      </c>
      <c r="R14" s="24">
        <v>0</v>
      </c>
      <c r="S14" s="13">
        <v>0</v>
      </c>
      <c r="V14" s="19">
        <v>6</v>
      </c>
      <c r="W14" s="19">
        <v>21</v>
      </c>
      <c r="Z14">
        <v>21</v>
      </c>
    </row>
    <row r="15" spans="1:34" ht="29.4" customHeight="1">
      <c r="A15" s="41"/>
      <c r="B15" s="41"/>
      <c r="C15" s="2" t="s">
        <v>26</v>
      </c>
      <c r="D15" s="2" t="s">
        <v>27</v>
      </c>
      <c r="E15" s="13">
        <v>7</v>
      </c>
      <c r="F15" s="13">
        <v>7</v>
      </c>
      <c r="G15" s="13">
        <v>7</v>
      </c>
      <c r="H15" s="13">
        <v>7</v>
      </c>
      <c r="I15" s="13">
        <v>7</v>
      </c>
      <c r="J15" s="13">
        <v>7</v>
      </c>
      <c r="K15" s="13">
        <v>7</v>
      </c>
      <c r="L15" s="24">
        <v>0</v>
      </c>
      <c r="M15" s="13">
        <v>7</v>
      </c>
      <c r="N15" s="13">
        <v>7</v>
      </c>
      <c r="O15" s="13">
        <v>7</v>
      </c>
      <c r="P15" s="13">
        <v>7</v>
      </c>
      <c r="Q15" s="13">
        <v>7</v>
      </c>
      <c r="R15" s="24">
        <v>7</v>
      </c>
      <c r="S15" s="13">
        <v>0</v>
      </c>
      <c r="V15" s="19">
        <v>7</v>
      </c>
      <c r="W15" s="19">
        <v>0</v>
      </c>
      <c r="Z15">
        <v>0</v>
      </c>
    </row>
    <row r="16" spans="1:34" ht="29.4" customHeight="1">
      <c r="A16" s="41"/>
      <c r="B16" s="41"/>
      <c r="C16" s="2" t="s">
        <v>28</v>
      </c>
      <c r="D16" s="2" t="s">
        <v>13</v>
      </c>
      <c r="E16" s="13">
        <v>1</v>
      </c>
      <c r="F16" s="13">
        <v>1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24">
        <v>0</v>
      </c>
      <c r="M16" s="13">
        <v>1</v>
      </c>
      <c r="N16" s="13">
        <v>0</v>
      </c>
      <c r="O16" s="13">
        <v>0</v>
      </c>
      <c r="P16" s="13">
        <v>0</v>
      </c>
      <c r="Q16" s="13">
        <v>0</v>
      </c>
      <c r="R16" s="24">
        <v>0</v>
      </c>
      <c r="S16" s="13">
        <v>0</v>
      </c>
      <c r="V16" s="19"/>
      <c r="W16" s="19"/>
    </row>
    <row r="17" spans="1:23" ht="29.4" customHeight="1">
      <c r="A17" s="40">
        <v>2</v>
      </c>
      <c r="B17" s="38" t="s">
        <v>29</v>
      </c>
      <c r="C17" s="2" t="s">
        <v>12</v>
      </c>
      <c r="D17" s="2" t="s">
        <v>13</v>
      </c>
      <c r="E17" s="13">
        <v>1</v>
      </c>
      <c r="F17" s="13">
        <v>1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24">
        <v>0</v>
      </c>
      <c r="M17" s="13">
        <v>2</v>
      </c>
      <c r="N17" s="13">
        <v>2</v>
      </c>
      <c r="O17" s="13">
        <v>0</v>
      </c>
      <c r="P17" s="13">
        <v>0</v>
      </c>
      <c r="Q17" s="13">
        <v>0</v>
      </c>
      <c r="R17" s="24">
        <v>0</v>
      </c>
      <c r="S17" s="13">
        <v>0</v>
      </c>
      <c r="V17" s="19"/>
      <c r="W17" s="19"/>
    </row>
    <row r="18" spans="1:23" ht="28.95" customHeight="1">
      <c r="A18" s="40"/>
      <c r="B18" s="38"/>
      <c r="C18" s="2" t="s">
        <v>15</v>
      </c>
      <c r="D18" s="2" t="s">
        <v>30</v>
      </c>
      <c r="E18" s="13">
        <v>1</v>
      </c>
      <c r="F18" s="13">
        <v>1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24">
        <v>0</v>
      </c>
      <c r="M18" s="13">
        <v>1</v>
      </c>
      <c r="N18" s="13">
        <v>0</v>
      </c>
      <c r="O18" s="13">
        <v>0</v>
      </c>
      <c r="P18" s="13">
        <v>0</v>
      </c>
      <c r="Q18" s="13">
        <v>0</v>
      </c>
      <c r="R18" s="24">
        <v>0</v>
      </c>
      <c r="S18" s="13">
        <v>0</v>
      </c>
      <c r="V18" s="19"/>
      <c r="W18" s="19"/>
    </row>
    <row r="19" spans="1:23" ht="28.95" customHeight="1">
      <c r="A19" s="40"/>
      <c r="B19" s="38"/>
      <c r="C19" s="2" t="s">
        <v>31</v>
      </c>
      <c r="D19" s="2" t="s">
        <v>27</v>
      </c>
      <c r="E19" s="13">
        <v>4</v>
      </c>
      <c r="F19" s="13">
        <v>4</v>
      </c>
      <c r="G19" s="13">
        <v>4</v>
      </c>
      <c r="H19" s="13">
        <v>4</v>
      </c>
      <c r="I19" s="13">
        <v>0</v>
      </c>
      <c r="J19" s="13">
        <v>0</v>
      </c>
      <c r="K19" s="13">
        <v>0</v>
      </c>
      <c r="L19" s="24">
        <v>0</v>
      </c>
      <c r="M19" s="13">
        <v>4</v>
      </c>
      <c r="N19" s="13">
        <v>4</v>
      </c>
      <c r="O19" s="13">
        <v>4</v>
      </c>
      <c r="P19" s="13">
        <v>0</v>
      </c>
      <c r="Q19" s="13">
        <v>0</v>
      </c>
      <c r="R19" s="24">
        <v>0</v>
      </c>
      <c r="S19" s="13">
        <v>0</v>
      </c>
      <c r="V19" s="19"/>
      <c r="W19" s="19"/>
    </row>
    <row r="20" spans="1:23" ht="28.95" customHeight="1">
      <c r="A20" s="40"/>
      <c r="B20" s="38"/>
      <c r="C20" s="2" t="s">
        <v>21</v>
      </c>
      <c r="D20" s="2" t="s">
        <v>30</v>
      </c>
      <c r="E20" s="13">
        <v>3</v>
      </c>
      <c r="F20" s="13">
        <v>3</v>
      </c>
      <c r="G20" s="13">
        <v>3</v>
      </c>
      <c r="H20" s="13">
        <v>3</v>
      </c>
      <c r="I20" s="13">
        <v>3</v>
      </c>
      <c r="J20" s="13">
        <v>0</v>
      </c>
      <c r="K20" s="13">
        <v>0</v>
      </c>
      <c r="L20" s="24">
        <v>0</v>
      </c>
      <c r="M20" s="13">
        <v>3</v>
      </c>
      <c r="N20" s="13">
        <v>3</v>
      </c>
      <c r="O20" s="13">
        <v>3</v>
      </c>
      <c r="P20" s="13">
        <v>3</v>
      </c>
      <c r="Q20" s="13">
        <v>0</v>
      </c>
      <c r="R20" s="24">
        <v>0</v>
      </c>
      <c r="S20" s="13">
        <v>0</v>
      </c>
      <c r="V20" s="19" t="s">
        <v>32</v>
      </c>
      <c r="W20" s="19"/>
    </row>
    <row r="21" spans="1:23" ht="28.95" customHeight="1">
      <c r="A21" s="40"/>
      <c r="B21" s="38"/>
      <c r="C21" s="2" t="s">
        <v>33</v>
      </c>
      <c r="D21" s="2" t="s">
        <v>27</v>
      </c>
      <c r="E21" s="13">
        <v>10</v>
      </c>
      <c r="F21" s="13">
        <v>10</v>
      </c>
      <c r="G21" s="13">
        <v>10</v>
      </c>
      <c r="H21" s="13">
        <v>10</v>
      </c>
      <c r="I21" s="13">
        <v>10</v>
      </c>
      <c r="J21" s="13">
        <v>0</v>
      </c>
      <c r="K21" s="13">
        <v>0</v>
      </c>
      <c r="L21" s="24">
        <v>0</v>
      </c>
      <c r="M21" s="13">
        <v>10</v>
      </c>
      <c r="N21" s="13">
        <v>10</v>
      </c>
      <c r="O21" s="13">
        <v>10</v>
      </c>
      <c r="P21" s="13">
        <v>10</v>
      </c>
      <c r="Q21" s="13">
        <v>0</v>
      </c>
      <c r="R21" s="24">
        <v>0</v>
      </c>
      <c r="S21" s="13">
        <v>0</v>
      </c>
    </row>
    <row r="22" spans="1:23" ht="28.95" customHeight="1">
      <c r="A22" s="40"/>
      <c r="B22" s="38"/>
      <c r="C22" s="2" t="s">
        <v>34</v>
      </c>
      <c r="D22" s="2" t="s">
        <v>27</v>
      </c>
      <c r="E22" s="13">
        <v>10</v>
      </c>
      <c r="F22" s="13">
        <v>10</v>
      </c>
      <c r="G22" s="13">
        <v>10</v>
      </c>
      <c r="H22" s="13">
        <v>10</v>
      </c>
      <c r="I22" s="13">
        <v>10</v>
      </c>
      <c r="J22" s="13">
        <v>0</v>
      </c>
      <c r="K22" s="13">
        <v>0</v>
      </c>
      <c r="L22" s="24">
        <v>0</v>
      </c>
      <c r="M22" s="13">
        <v>10</v>
      </c>
      <c r="N22" s="13">
        <v>10</v>
      </c>
      <c r="O22" s="13">
        <v>10</v>
      </c>
      <c r="P22" s="13">
        <v>10</v>
      </c>
      <c r="Q22" s="13">
        <v>10</v>
      </c>
      <c r="R22" s="24">
        <v>0</v>
      </c>
      <c r="S22" s="13">
        <v>0</v>
      </c>
    </row>
    <row r="23" spans="1:23" ht="28.95" customHeight="1">
      <c r="A23" s="40"/>
      <c r="B23" s="38"/>
      <c r="C23" s="2" t="s">
        <v>23</v>
      </c>
      <c r="D23" s="2" t="s">
        <v>30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>
        <v>0</v>
      </c>
      <c r="K23" s="13">
        <v>0</v>
      </c>
      <c r="L23" s="24">
        <v>0</v>
      </c>
      <c r="M23" s="13">
        <v>2</v>
      </c>
      <c r="N23" s="13">
        <v>2</v>
      </c>
      <c r="O23" s="13">
        <v>2</v>
      </c>
      <c r="P23" s="13">
        <v>2</v>
      </c>
      <c r="Q23" s="13">
        <v>2</v>
      </c>
      <c r="R23" s="24">
        <v>0</v>
      </c>
      <c r="S23" s="13">
        <v>0</v>
      </c>
    </row>
    <row r="24" spans="1:23" ht="28.95" customHeight="1">
      <c r="A24" s="40"/>
      <c r="B24" s="38"/>
      <c r="C24" s="2" t="s">
        <v>24</v>
      </c>
      <c r="D24" s="2" t="s">
        <v>30</v>
      </c>
      <c r="E24" s="13">
        <v>2</v>
      </c>
      <c r="F24" s="13">
        <v>2</v>
      </c>
      <c r="G24" s="13">
        <v>2</v>
      </c>
      <c r="H24" s="13">
        <v>2</v>
      </c>
      <c r="I24" s="13">
        <v>2</v>
      </c>
      <c r="J24" s="13">
        <v>2</v>
      </c>
      <c r="K24" s="13">
        <v>0</v>
      </c>
      <c r="L24" s="24">
        <v>0</v>
      </c>
      <c r="M24" s="13">
        <v>2</v>
      </c>
      <c r="N24" s="13">
        <v>2</v>
      </c>
      <c r="O24" s="13">
        <v>2</v>
      </c>
      <c r="P24" s="13">
        <v>2</v>
      </c>
      <c r="Q24" s="13">
        <v>2</v>
      </c>
      <c r="R24" s="24">
        <v>0</v>
      </c>
      <c r="S24" s="13">
        <v>0</v>
      </c>
    </row>
    <row r="25" spans="1:23" ht="28.95" customHeight="1">
      <c r="A25" s="40"/>
      <c r="B25" s="38"/>
      <c r="C25" s="2" t="s">
        <v>25</v>
      </c>
      <c r="D25" s="2" t="s">
        <v>27</v>
      </c>
      <c r="E25" s="13">
        <v>2</v>
      </c>
      <c r="F25" s="13">
        <v>2</v>
      </c>
      <c r="G25" s="13">
        <v>2</v>
      </c>
      <c r="H25" s="13">
        <v>2</v>
      </c>
      <c r="I25" s="13">
        <v>2</v>
      </c>
      <c r="J25" s="13">
        <v>2</v>
      </c>
      <c r="K25" s="13">
        <v>0</v>
      </c>
      <c r="L25" s="24">
        <v>0</v>
      </c>
      <c r="M25" s="13">
        <v>2</v>
      </c>
      <c r="N25" s="13">
        <v>2</v>
      </c>
      <c r="O25" s="13">
        <v>2</v>
      </c>
      <c r="P25" s="13">
        <v>2</v>
      </c>
      <c r="Q25" s="13">
        <v>2</v>
      </c>
      <c r="R25" s="24">
        <v>0</v>
      </c>
      <c r="S25" s="13">
        <v>0</v>
      </c>
    </row>
    <row r="26" spans="1:23" ht="33" customHeight="1">
      <c r="A26" s="40"/>
      <c r="B26" s="38"/>
      <c r="C26" s="2" t="s">
        <v>26</v>
      </c>
      <c r="D26" s="2" t="s">
        <v>27</v>
      </c>
      <c r="E26" s="13">
        <v>7</v>
      </c>
      <c r="F26" s="13">
        <v>7</v>
      </c>
      <c r="G26" s="13">
        <v>7</v>
      </c>
      <c r="H26" s="13">
        <v>7</v>
      </c>
      <c r="I26" s="13">
        <v>7</v>
      </c>
      <c r="J26" s="13">
        <v>7</v>
      </c>
      <c r="K26" s="13">
        <v>7</v>
      </c>
      <c r="L26" s="24">
        <v>0</v>
      </c>
      <c r="M26" s="13">
        <v>7</v>
      </c>
      <c r="N26" s="13">
        <v>7</v>
      </c>
      <c r="O26" s="13">
        <v>7</v>
      </c>
      <c r="P26" s="13">
        <v>7</v>
      </c>
      <c r="Q26" s="13">
        <v>7</v>
      </c>
      <c r="R26" s="24">
        <v>7</v>
      </c>
      <c r="S26" s="13">
        <v>0</v>
      </c>
    </row>
    <row r="27" spans="1:23" ht="33" customHeight="1">
      <c r="A27" s="40"/>
      <c r="B27" s="38"/>
      <c r="C27" s="2" t="s">
        <v>28</v>
      </c>
      <c r="D27" s="2" t="s">
        <v>13</v>
      </c>
      <c r="E27" s="13">
        <v>1</v>
      </c>
      <c r="F27" s="13">
        <v>1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24">
        <v>0</v>
      </c>
      <c r="M27" s="13">
        <v>1</v>
      </c>
      <c r="N27" s="13">
        <v>1</v>
      </c>
      <c r="O27" s="13">
        <v>0</v>
      </c>
      <c r="P27" s="13">
        <v>0</v>
      </c>
      <c r="Q27" s="13">
        <v>0</v>
      </c>
      <c r="R27" s="24">
        <v>0</v>
      </c>
      <c r="S27" s="13">
        <v>0</v>
      </c>
    </row>
    <row r="28" spans="1:23" ht="33" customHeight="1">
      <c r="A28" s="39">
        <v>3</v>
      </c>
      <c r="B28" s="38" t="s">
        <v>35</v>
      </c>
      <c r="C28" s="2" t="s">
        <v>12</v>
      </c>
      <c r="D28" s="2" t="s">
        <v>13</v>
      </c>
      <c r="E28" s="13">
        <v>1</v>
      </c>
      <c r="F28" s="13">
        <v>1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24">
        <v>0</v>
      </c>
      <c r="M28" s="13">
        <v>2</v>
      </c>
      <c r="N28" s="13">
        <v>2</v>
      </c>
      <c r="O28" s="13">
        <v>0</v>
      </c>
      <c r="P28" s="13">
        <v>0</v>
      </c>
      <c r="Q28" s="13">
        <v>0</v>
      </c>
      <c r="R28" s="24">
        <v>0</v>
      </c>
      <c r="S28" s="13">
        <v>0</v>
      </c>
    </row>
    <row r="29" spans="1:23" ht="30" customHeight="1">
      <c r="A29" s="39"/>
      <c r="B29" s="38"/>
      <c r="C29" s="2" t="s">
        <v>15</v>
      </c>
      <c r="D29" s="2" t="s">
        <v>36</v>
      </c>
      <c r="E29" s="13">
        <v>1</v>
      </c>
      <c r="F29" s="13">
        <v>1</v>
      </c>
      <c r="G29" s="13">
        <v>1</v>
      </c>
      <c r="H29" s="13">
        <v>0</v>
      </c>
      <c r="I29" s="13">
        <v>0</v>
      </c>
      <c r="J29" s="13">
        <v>0</v>
      </c>
      <c r="K29" s="13">
        <v>0</v>
      </c>
      <c r="L29" s="24">
        <v>0</v>
      </c>
      <c r="M29" s="13">
        <v>1</v>
      </c>
      <c r="N29" s="13">
        <v>0</v>
      </c>
      <c r="O29" s="13">
        <v>0</v>
      </c>
      <c r="P29" s="13">
        <v>0</v>
      </c>
      <c r="Q29" s="13">
        <v>0</v>
      </c>
      <c r="R29" s="24">
        <v>0</v>
      </c>
      <c r="S29" s="13">
        <v>0</v>
      </c>
    </row>
    <row r="30" spans="1:23" ht="36" customHeight="1">
      <c r="A30" s="39"/>
      <c r="B30" s="38"/>
      <c r="C30" s="12" t="s">
        <v>31</v>
      </c>
      <c r="D30" s="12" t="s">
        <v>37</v>
      </c>
      <c r="E30" s="13">
        <v>4</v>
      </c>
      <c r="F30" s="13">
        <v>4</v>
      </c>
      <c r="G30" s="13">
        <v>4</v>
      </c>
      <c r="H30" s="13">
        <v>4</v>
      </c>
      <c r="I30" s="13">
        <v>0</v>
      </c>
      <c r="J30" s="13">
        <v>0</v>
      </c>
      <c r="K30" s="13">
        <v>0</v>
      </c>
      <c r="L30" s="24">
        <v>0</v>
      </c>
      <c r="M30" s="13">
        <v>4</v>
      </c>
      <c r="N30" s="13">
        <v>4</v>
      </c>
      <c r="O30" s="13">
        <v>4</v>
      </c>
      <c r="P30" s="13">
        <v>4</v>
      </c>
      <c r="Q30" s="13">
        <v>0</v>
      </c>
      <c r="R30" s="24">
        <v>0</v>
      </c>
      <c r="S30" s="13">
        <v>0</v>
      </c>
    </row>
    <row r="31" spans="1:23" ht="34.950000000000003" customHeight="1">
      <c r="A31" s="39"/>
      <c r="B31" s="38"/>
      <c r="C31" s="12" t="s">
        <v>21</v>
      </c>
      <c r="D31" s="2" t="s">
        <v>36</v>
      </c>
      <c r="E31" s="13">
        <v>3</v>
      </c>
      <c r="F31" s="13">
        <v>3</v>
      </c>
      <c r="G31" s="13">
        <v>3</v>
      </c>
      <c r="H31" s="13">
        <v>3</v>
      </c>
      <c r="I31" s="13">
        <v>3</v>
      </c>
      <c r="J31" s="13">
        <v>0</v>
      </c>
      <c r="K31" s="13">
        <v>0</v>
      </c>
      <c r="L31" s="24">
        <v>0</v>
      </c>
      <c r="M31" s="13">
        <v>3</v>
      </c>
      <c r="N31" s="13">
        <v>3</v>
      </c>
      <c r="O31" s="13">
        <v>3</v>
      </c>
      <c r="P31" s="13">
        <v>3</v>
      </c>
      <c r="Q31" s="13">
        <v>0</v>
      </c>
      <c r="R31" s="24">
        <v>0</v>
      </c>
      <c r="S31" s="13">
        <v>0</v>
      </c>
    </row>
    <row r="32" spans="1:23" ht="37.950000000000003" customHeight="1">
      <c r="A32" s="39"/>
      <c r="B32" s="38"/>
      <c r="C32" s="12" t="s">
        <v>38</v>
      </c>
      <c r="D32" s="3" t="s">
        <v>37</v>
      </c>
      <c r="E32" s="13">
        <v>10</v>
      </c>
      <c r="F32" s="13">
        <v>10</v>
      </c>
      <c r="G32" s="13">
        <v>10</v>
      </c>
      <c r="H32" s="13">
        <v>10</v>
      </c>
      <c r="I32" s="13">
        <v>10</v>
      </c>
      <c r="J32" s="13">
        <v>0</v>
      </c>
      <c r="K32" s="13">
        <v>0</v>
      </c>
      <c r="L32" s="24">
        <v>0</v>
      </c>
      <c r="M32" s="13">
        <v>10</v>
      </c>
      <c r="N32" s="13">
        <v>10</v>
      </c>
      <c r="O32" s="13">
        <v>10</v>
      </c>
      <c r="P32" s="13">
        <v>10</v>
      </c>
      <c r="Q32" s="13">
        <v>10</v>
      </c>
      <c r="R32" s="24">
        <v>0</v>
      </c>
      <c r="S32" s="13">
        <v>0</v>
      </c>
    </row>
    <row r="33" spans="1:25" ht="34.200000000000003" customHeight="1">
      <c r="A33" s="39"/>
      <c r="B33" s="38"/>
      <c r="C33" s="12" t="s">
        <v>23</v>
      </c>
      <c r="D33" s="7" t="s">
        <v>37</v>
      </c>
      <c r="E33" s="13">
        <v>2</v>
      </c>
      <c r="F33" s="13">
        <v>2</v>
      </c>
      <c r="G33" s="13">
        <v>2</v>
      </c>
      <c r="H33" s="13">
        <v>2</v>
      </c>
      <c r="I33" s="13">
        <v>2</v>
      </c>
      <c r="J33" s="13">
        <v>0</v>
      </c>
      <c r="K33" s="13">
        <v>0</v>
      </c>
      <c r="L33" s="24">
        <v>0</v>
      </c>
      <c r="M33" s="13">
        <v>2</v>
      </c>
      <c r="N33" s="13">
        <v>2</v>
      </c>
      <c r="O33" s="13">
        <v>2</v>
      </c>
      <c r="P33" s="13">
        <v>2</v>
      </c>
      <c r="Q33" s="13">
        <v>2</v>
      </c>
      <c r="R33" s="24">
        <v>0</v>
      </c>
      <c r="S33" s="13">
        <v>0</v>
      </c>
    </row>
    <row r="34" spans="1:25" ht="37.950000000000003" customHeight="1">
      <c r="A34" s="39"/>
      <c r="B34" s="38"/>
      <c r="C34" s="12" t="s">
        <v>24</v>
      </c>
      <c r="D34" s="12" t="s">
        <v>36</v>
      </c>
      <c r="E34" s="13">
        <v>2</v>
      </c>
      <c r="F34" s="13">
        <v>2</v>
      </c>
      <c r="G34" s="13">
        <v>2</v>
      </c>
      <c r="H34" s="13">
        <v>2</v>
      </c>
      <c r="I34" s="13">
        <v>2</v>
      </c>
      <c r="J34" s="13">
        <v>2</v>
      </c>
      <c r="K34" s="13">
        <v>0</v>
      </c>
      <c r="L34" s="24">
        <v>0</v>
      </c>
      <c r="M34" s="13">
        <v>2</v>
      </c>
      <c r="N34" s="13">
        <v>2</v>
      </c>
      <c r="O34" s="13">
        <v>2</v>
      </c>
      <c r="P34" s="13">
        <v>2</v>
      </c>
      <c r="Q34" s="13">
        <v>2</v>
      </c>
      <c r="R34" s="24">
        <v>0</v>
      </c>
      <c r="S34" s="13">
        <v>0</v>
      </c>
    </row>
    <row r="35" spans="1:25" ht="28.95" customHeight="1">
      <c r="A35" s="39"/>
      <c r="B35" s="38"/>
      <c r="C35" s="12" t="s">
        <v>25</v>
      </c>
      <c r="D35" s="11" t="s">
        <v>37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0</v>
      </c>
      <c r="L35" s="24">
        <v>0</v>
      </c>
      <c r="M35" s="13">
        <v>2</v>
      </c>
      <c r="N35" s="13">
        <v>2</v>
      </c>
      <c r="O35" s="13">
        <v>2</v>
      </c>
      <c r="P35" s="13">
        <v>2</v>
      </c>
      <c r="Q35" s="13">
        <v>2</v>
      </c>
      <c r="R35" s="24">
        <v>0</v>
      </c>
      <c r="S35" s="13">
        <v>0</v>
      </c>
    </row>
    <row r="36" spans="1:25" ht="28.95" customHeight="1">
      <c r="A36" s="39"/>
      <c r="B36" s="38"/>
      <c r="C36" s="10" t="s">
        <v>26</v>
      </c>
      <c r="D36" s="11" t="s">
        <v>27</v>
      </c>
      <c r="E36" s="9">
        <v>7</v>
      </c>
      <c r="F36" s="13">
        <v>7</v>
      </c>
      <c r="G36" s="13">
        <v>7</v>
      </c>
      <c r="H36" s="13">
        <v>7</v>
      </c>
      <c r="I36" s="13">
        <v>7</v>
      </c>
      <c r="J36" s="13">
        <v>7</v>
      </c>
      <c r="K36" s="13">
        <v>7</v>
      </c>
      <c r="L36" s="24">
        <v>0</v>
      </c>
      <c r="M36" s="13">
        <v>7</v>
      </c>
      <c r="N36" s="13">
        <v>7</v>
      </c>
      <c r="O36" s="13">
        <v>7</v>
      </c>
      <c r="P36" s="13">
        <v>7</v>
      </c>
      <c r="Q36" s="13">
        <v>7</v>
      </c>
      <c r="R36" s="24">
        <v>7</v>
      </c>
      <c r="S36" s="13">
        <v>0</v>
      </c>
    </row>
    <row r="37" spans="1:25" ht="30" customHeight="1">
      <c r="A37" s="39"/>
      <c r="B37" s="38"/>
      <c r="C37" s="12" t="s">
        <v>28</v>
      </c>
      <c r="D37" s="8" t="s">
        <v>13</v>
      </c>
      <c r="E37" s="13">
        <v>1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24">
        <v>0</v>
      </c>
      <c r="M37" s="13">
        <v>1</v>
      </c>
      <c r="N37" s="13">
        <v>1</v>
      </c>
      <c r="O37" s="13">
        <v>0</v>
      </c>
      <c r="P37" s="13">
        <v>0</v>
      </c>
      <c r="Q37" s="13">
        <v>0</v>
      </c>
      <c r="R37" s="24">
        <v>0</v>
      </c>
      <c r="S37" s="13">
        <v>0</v>
      </c>
    </row>
    <row r="38" spans="1:25" ht="21.6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37.200000000000003" customHeight="1">
      <c r="B39" s="5"/>
      <c r="C39" s="6"/>
      <c r="D39" s="3"/>
      <c r="E39" s="4"/>
      <c r="F39" s="4"/>
      <c r="G39" s="4"/>
      <c r="H39" s="4"/>
      <c r="I39" s="4"/>
      <c r="J39" s="4"/>
      <c r="K39" s="4"/>
      <c r="L39" s="4"/>
    </row>
    <row r="40" spans="1:25" ht="14.4"/>
    <row r="41" spans="1:25" ht="14.4"/>
    <row r="42" spans="1:25" ht="14.4"/>
    <row r="43" spans="1:25" ht="14.4"/>
    <row r="44" spans="1:25" ht="14.4"/>
    <row r="45" spans="1:25" ht="14.4"/>
    <row r="46" spans="1:25" ht="14.4"/>
    <row r="47" spans="1:25" ht="14.4"/>
    <row r="48" spans="1:25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</sheetData>
  <mergeCells count="14">
    <mergeCell ref="M4:S4"/>
    <mergeCell ref="B28:B37"/>
    <mergeCell ref="A28:A37"/>
    <mergeCell ref="B17:B27"/>
    <mergeCell ref="A17:A27"/>
    <mergeCell ref="B6:B16"/>
    <mergeCell ref="A6:A16"/>
    <mergeCell ref="A1:L1"/>
    <mergeCell ref="A4:A5"/>
    <mergeCell ref="B4:B5"/>
    <mergeCell ref="C4:C5"/>
    <mergeCell ref="E4:E5"/>
    <mergeCell ref="F4:L4"/>
    <mergeCell ref="D4:D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BCD0499661E4F8CEB9BC41B73988A" ma:contentTypeVersion="6" ma:contentTypeDescription="Create a new document." ma:contentTypeScope="" ma:versionID="6cded74359383c2f4e3ff0f9ab2ab6b1">
  <xsd:schema xmlns:xsd="http://www.w3.org/2001/XMLSchema" xmlns:xs="http://www.w3.org/2001/XMLSchema" xmlns:p="http://schemas.microsoft.com/office/2006/metadata/properties" xmlns:ns3="1da1b77c-be6f-4283-bdc3-a864e6ffa65f" targetNamespace="http://schemas.microsoft.com/office/2006/metadata/properties" ma:root="true" ma:fieldsID="fc72651b82a660b4f7c8c3e1e618c75e" ns3:_="">
    <xsd:import namespace="1da1b77c-be6f-4283-bdc3-a864e6ffa6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1b77c-be6f-4283-bdc3-a864e6ffa6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a1b77c-be6f-4283-bdc3-a864e6ffa65f" xsi:nil="true"/>
  </documentManagement>
</p:properties>
</file>

<file path=customXml/itemProps1.xml><?xml version="1.0" encoding="utf-8"?>
<ds:datastoreItem xmlns:ds="http://schemas.openxmlformats.org/officeDocument/2006/customXml" ds:itemID="{39888259-65CF-4A1C-A8E8-C2A1BADA00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AAF29E-734C-4850-B977-18C66E9FEF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a1b77c-be6f-4283-bdc3-a864e6ffa6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99EF2-83EE-49B5-BD0A-AFD72059F318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1da1b77c-be6f-4283-bdc3-a864e6ffa65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Oonchira Saenta</dc:creator>
  <cp:keywords/>
  <dc:description/>
  <cp:lastModifiedBy>Oonchira Saenta</cp:lastModifiedBy>
  <cp:revision/>
  <dcterms:created xsi:type="dcterms:W3CDTF">2026-02-11T13:44:56Z</dcterms:created>
  <dcterms:modified xsi:type="dcterms:W3CDTF">2026-02-17T14:15:38Z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0x010100AFCBCD0499661E4F8CEB9BC41B73988A</vt:lpwstr>
  </property>
</Properties>
</file>